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sameeks_ncsu_edu/Documents/Desktop/MSA Spring/Financial Analytics/Scorecards/"/>
    </mc:Choice>
  </mc:AlternateContent>
  <xr:revisionPtr revIDLastSave="0" documentId="8_{32917830-5161-4DB8-9E12-614551150EFA}" xr6:coauthVersionLast="47" xr6:coauthVersionMax="47" xr10:uidLastSave="{00000000-0000-0000-0000-000000000000}"/>
  <bookViews>
    <workbookView xWindow="6390" yWindow="0" windowWidth="22305" windowHeight="12630" xr2:uid="{28119EF4-C2C5-0E43-85CE-F313BC9BF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H4" i="1"/>
  <c r="G6" i="1"/>
  <c r="G5" i="1"/>
  <c r="G4" i="1"/>
  <c r="F4" i="1"/>
  <c r="F6" i="1"/>
  <c r="H6" i="1" s="1"/>
  <c r="F5" i="1"/>
  <c r="H5" i="1" l="1"/>
  <c r="F7" i="1"/>
  <c r="H7" i="1" l="1"/>
  <c r="I5" i="1" s="1"/>
  <c r="K5" i="1"/>
  <c r="L4" i="1"/>
  <c r="I6" i="1" l="1"/>
  <c r="I4" i="1"/>
  <c r="L6" i="1"/>
  <c r="M6" i="1" s="1"/>
  <c r="L5" i="1"/>
  <c r="M5" i="1" s="1"/>
  <c r="M7" i="1" l="1"/>
  <c r="N6" i="1" l="1"/>
  <c r="N4" i="1"/>
  <c r="N5" i="1"/>
</calcChain>
</file>

<file path=xl/sharedStrings.xml><?xml version="1.0" encoding="utf-8"?>
<sst xmlns="http://schemas.openxmlformats.org/spreadsheetml/2006/main" count="19" uniqueCount="18">
  <si>
    <t>Rejects</t>
  </si>
  <si>
    <t>Good</t>
  </si>
  <si>
    <t>Bad</t>
  </si>
  <si>
    <t>Sample</t>
  </si>
  <si>
    <t>3.23% of Accepts</t>
  </si>
  <si>
    <t>96.78% of Accepts</t>
  </si>
  <si>
    <t>Population Percentage</t>
  </si>
  <si>
    <t>Weight (Population/Sample)</t>
  </si>
  <si>
    <t>Choose 1</t>
  </si>
  <si>
    <t>Determine Multiplier</t>
  </si>
  <si>
    <t>Mutiply for Final Weights</t>
  </si>
  <si>
    <t>If you want to set one of the category weight to 1</t>
  </si>
  <si>
    <t>Implied Pop</t>
  </si>
  <si>
    <t>Implied Pop%</t>
  </si>
  <si>
    <t>Implied Pop %</t>
  </si>
  <si>
    <t>Double Check</t>
  </si>
  <si>
    <t>Population (From Case)</t>
  </si>
  <si>
    <t>When Rejects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</si>
</sst>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0" fillId="3" borderId="0" xfId="0" applyFill="1"/>
    <xf numFmtId="3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9" fontId="0" fillId="4" borderId="0" xfId="0" applyNumberFormat="1" applyFill="1" applyAlignment="1">
      <alignment horizontal="center"/>
    </xf>
    <xf numFmtId="2" fontId="0" fillId="4" borderId="0" xfId="0" applyNumberFormat="1" applyFill="1"/>
    <xf numFmtId="0" fontId="0" fillId="2" borderId="0" xfId="0" applyFill="1"/>
    <xf numFmtId="164" fontId="0" fillId="0" borderId="0" xfId="0" applyNumberFormat="1"/>
    <xf numFmtId="0" fontId="0" fillId="6" borderId="0" xfId="0" applyFill="1"/>
    <xf numFmtId="2" fontId="0" fillId="6" borderId="0" xfId="0" applyNumberFormat="1" applyFill="1"/>
    <xf numFmtId="164" fontId="0" fillId="6" borderId="0" xfId="0" applyNumberFormat="1" applyFill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6" borderId="1" xfId="0" applyFill="1" applyBorder="1"/>
    <xf numFmtId="164" fontId="0" fillId="6" borderId="1" xfId="0" applyNumberFormat="1" applyFill="1" applyBorder="1"/>
    <xf numFmtId="2" fontId="0" fillId="4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46FA-B57A-F348-BCC0-EB1209901935}">
  <dimension ref="A2:N7"/>
  <sheetViews>
    <sheetView tabSelected="1" topLeftCell="D1" zoomScale="85" zoomScaleNormal="85" workbookViewId="0">
      <selection activeCell="J6" sqref="J6"/>
    </sheetView>
  </sheetViews>
  <sheetFormatPr defaultColWidth="11" defaultRowHeight="15.75" x14ac:dyDescent="0.25"/>
  <cols>
    <col min="4" max="4" width="19.125" customWidth="1"/>
    <col min="5" max="5" width="21" customWidth="1"/>
    <col min="6" max="6" width="19.125" customWidth="1"/>
    <col min="7" max="8" width="23.125" customWidth="1"/>
    <col min="9" max="9" width="23.125" style="9" customWidth="1"/>
    <col min="11" max="11" width="17.875" customWidth="1"/>
    <col min="12" max="12" width="21" customWidth="1"/>
    <col min="14" max="14" width="11.625" bestFit="1" customWidth="1"/>
  </cols>
  <sheetData>
    <row r="2" spans="1:14" x14ac:dyDescent="0.25">
      <c r="F2" t="s">
        <v>17</v>
      </c>
      <c r="H2" s="22" t="s">
        <v>15</v>
      </c>
      <c r="I2" s="22"/>
      <c r="J2" s="21" t="s">
        <v>11</v>
      </c>
      <c r="K2" s="21"/>
      <c r="L2" s="21"/>
      <c r="M2" s="21"/>
      <c r="N2" s="21"/>
    </row>
    <row r="3" spans="1:14" x14ac:dyDescent="0.25">
      <c r="A3" s="13" t="s">
        <v>3</v>
      </c>
      <c r="B3" s="13"/>
      <c r="C3" s="13"/>
      <c r="D3" s="14" t="s">
        <v>16</v>
      </c>
      <c r="E3" s="14"/>
      <c r="F3" s="14" t="s">
        <v>6</v>
      </c>
      <c r="G3" s="15" t="s">
        <v>7</v>
      </c>
      <c r="H3" s="16" t="s">
        <v>12</v>
      </c>
      <c r="I3" s="17" t="s">
        <v>14</v>
      </c>
      <c r="J3" s="14" t="s">
        <v>8</v>
      </c>
      <c r="K3" s="14" t="s">
        <v>9</v>
      </c>
      <c r="L3" s="14" t="s">
        <v>10</v>
      </c>
      <c r="M3" s="16" t="s">
        <v>12</v>
      </c>
      <c r="N3" s="16" t="s">
        <v>13</v>
      </c>
    </row>
    <row r="4" spans="1:14" x14ac:dyDescent="0.25">
      <c r="A4" s="2" t="s">
        <v>0</v>
      </c>
      <c r="B4" s="3">
        <v>1000</v>
      </c>
      <c r="C4" s="4">
        <v>0.25</v>
      </c>
      <c r="D4" s="6">
        <v>0.25</v>
      </c>
      <c r="E4" s="18">
        <v>1</v>
      </c>
      <c r="F4" s="7">
        <f>25*1</f>
        <v>25</v>
      </c>
      <c r="G4" s="8">
        <f>F4/25</f>
        <v>1</v>
      </c>
      <c r="H4" s="10">
        <f>G4*1000</f>
        <v>1000</v>
      </c>
      <c r="I4" s="11">
        <f>(H4/$H$7)*100</f>
        <v>24.998125140614452</v>
      </c>
      <c r="L4">
        <f>G4*K5</f>
        <v>15.479876160990715</v>
      </c>
      <c r="M4" s="10">
        <f>1000*L4</f>
        <v>15479.876160990714</v>
      </c>
      <c r="N4" s="11">
        <f>(M4/$M$7)*100</f>
        <v>24.998125140614448</v>
      </c>
    </row>
    <row r="5" spans="1:14" x14ac:dyDescent="0.25">
      <c r="A5" s="2" t="s">
        <v>2</v>
      </c>
      <c r="B5" s="3">
        <v>1500</v>
      </c>
      <c r="C5" s="4">
        <v>0.375</v>
      </c>
      <c r="D5" s="19">
        <v>0.75</v>
      </c>
      <c r="E5" s="5" t="s">
        <v>4</v>
      </c>
      <c r="F5" s="5">
        <f>0.75*3.23</f>
        <v>2.4224999999999999</v>
      </c>
      <c r="G5" s="8">
        <f>F5/37.5</f>
        <v>6.4599999999999991E-2</v>
      </c>
      <c r="H5" s="10">
        <f t="shared" ref="H5:H6" si="0">G5*1500</f>
        <v>96.899999999999991</v>
      </c>
      <c r="I5" s="11">
        <f>(H5/$H$7)*100</f>
        <v>2.4223183261255401</v>
      </c>
      <c r="J5">
        <v>1</v>
      </c>
      <c r="K5">
        <f>1/G5</f>
        <v>15.479876160990715</v>
      </c>
      <c r="L5">
        <f>G5*K5</f>
        <v>1</v>
      </c>
      <c r="M5" s="10">
        <f>L5*1500</f>
        <v>1500</v>
      </c>
      <c r="N5" s="11">
        <f>(M5/$M$7)*100</f>
        <v>2.4223183261255397</v>
      </c>
    </row>
    <row r="6" spans="1:14" x14ac:dyDescent="0.25">
      <c r="A6" s="2" t="s">
        <v>1</v>
      </c>
      <c r="B6" s="3">
        <v>1500</v>
      </c>
      <c r="C6" s="4">
        <v>0.375</v>
      </c>
      <c r="D6" s="20"/>
      <c r="E6" s="5" t="s">
        <v>5</v>
      </c>
      <c r="F6" s="5">
        <f>96.78*0.75</f>
        <v>72.585000000000008</v>
      </c>
      <c r="G6" s="8">
        <f>F6/37.5</f>
        <v>1.9356000000000002</v>
      </c>
      <c r="H6" s="10">
        <f t="shared" si="0"/>
        <v>2903.4</v>
      </c>
      <c r="I6" s="11">
        <f>(H6/$H$7)*100</f>
        <v>72.579556533260003</v>
      </c>
      <c r="L6">
        <f>G6*K5</f>
        <v>29.962848297213633</v>
      </c>
      <c r="M6" s="10">
        <f>1500*L6</f>
        <v>44944.272445820447</v>
      </c>
      <c r="N6" s="11">
        <f>(M6/$M$7)*100</f>
        <v>72.579556533260003</v>
      </c>
    </row>
    <row r="7" spans="1:14" x14ac:dyDescent="0.25">
      <c r="F7" s="1">
        <f>SUM(F4:F6)</f>
        <v>100.00750000000001</v>
      </c>
      <c r="H7" s="10">
        <f>SUM(H4:H6)</f>
        <v>4000.3</v>
      </c>
      <c r="I7" s="12"/>
      <c r="M7" s="10">
        <f>SUM(M4:M6)</f>
        <v>61924.148606811163</v>
      </c>
      <c r="N7" s="10"/>
    </row>
  </sheetData>
  <mergeCells count="3">
    <mergeCell ref="D5:D6"/>
    <mergeCell ref="J2:N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 Hale</dc:creator>
  <cp:lastModifiedBy>Steven Allen Meeks III</cp:lastModifiedBy>
  <dcterms:created xsi:type="dcterms:W3CDTF">2026-02-16T16:22:31Z</dcterms:created>
  <dcterms:modified xsi:type="dcterms:W3CDTF">2026-02-17T20:32:19Z</dcterms:modified>
</cp:coreProperties>
</file>